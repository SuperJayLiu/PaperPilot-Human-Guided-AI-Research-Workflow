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f588e4f424b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40318b491f64633"/>
    <x:sheet xmlns:r="http://schemas.openxmlformats.org/officeDocument/2006/relationships" name="Idea Gate" sheetId="2" r:id="Rfa81256503bb4fdb"/>
    <x:sheet xmlns:r="http://schemas.openxmlformats.org/officeDocument/2006/relationships" name="Final Paper" sheetId="3" r:id="R6e872763764142f4"/>
    <x:sheet xmlns:r="http://schemas.openxmlformats.org/officeDocument/2006/relationships" name="Thresholds" sheetId="4" r:id="Re230f1f9e3814e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37d64424a415b" /><Relationship Type="http://schemas.openxmlformats.org/officeDocument/2006/relationships/theme" Target="/xl/theme/theme1.xml" Id="R3884f6b3b0374146" /><Relationship Type="http://schemas.openxmlformats.org/officeDocument/2006/relationships/sharedStrings" Target="/xl/sharedStrings.xml" Id="R0509c1a14c69414e" /><Relationship Type="http://schemas.openxmlformats.org/officeDocument/2006/relationships/worksheet" Target="/xl/worksheets/sheet1.xml" Id="R040318b491f64633" /><Relationship Type="http://schemas.openxmlformats.org/officeDocument/2006/relationships/worksheet" Target="/xl/worksheets/sheet2.xml" Id="Rfa81256503bb4fdb" /><Relationship Type="http://schemas.openxmlformats.org/officeDocument/2006/relationships/worksheet" Target="/xl/worksheets/sheet3.xml" Id="R6e872763764142f4" /><Relationship Type="http://schemas.openxmlformats.org/officeDocument/2006/relationships/worksheet" Target="/xl/worksheets/sheet4.xml" Id="Re230f1f9e3814edf" /></Relationships>
</file>

<file path=xl/tables/table1.xml><?xml version="1.0" encoding="utf-8"?>
<x:table xmlns:x="http://schemas.openxmlformats.org/spreadsheetml/2006/main" id="1" name="IdeaQualityTable" displayName="IdeaQualityTable" ref="A1:G11" headerRowCount="1">
  <x:tableColumns count="7">
    <x:tableColumn id="1" name="Perspective"/>
    <x:tableColumn id="2" name="Current score"/>
    <x:tableColumn id="3" name="Potential ceiling"/>
    <x:tableColumn id="4" name="Evidence known"/>
    <x:tableColumn id="5" name="Main gap"/>
    <x:tableColumn id="6" name="Upgrade needed"/>
    <x:tableColumn id="7" name="Decision note"/>
  </x:tableColumns>
  <x:tableStyleInfo name="TableStyleMedium2" showRowStripes="1"/>
</x:table>
</file>

<file path=xl/tables/table2.xml><?xml version="1.0" encoding="utf-8"?>
<x:table xmlns:x="http://schemas.openxmlformats.org/spreadsheetml/2006/main" id="2" name="FinalQualityTable" displayName="FinalQualityTable" ref="A1:G11" headerRowCount="1">
  <x:tableColumns count="7">
    <x:tableColumn id="1" name="Perspective"/>
    <x:tableColumn id="2" name="Score"/>
    <x:tableColumn id="3" name="Evidence used"/>
    <x:tableColumn id="4" name="Main weakness"/>
    <x:tableColumn id="5" name="Required improvement"/>
    <x:tableColumn id="6" name="Hard stop yes/no"/>
    <x:tableColumn id="7" name="Round"/>
  </x:tableColumns>
  <x:tableStyleInfo name="TableStyleMedium2" showRowStripes="1"/>
</x:table>
</file>

<file path=xl/tables/table3.xml><?xml version="1.0" encoding="utf-8"?>
<x:table xmlns:x="http://schemas.openxmlformats.org/spreadsheetml/2006/main" id="3" name="ThresholdsTable" displayName="ThresholdsTable" ref="A1:C9" headerRowCount="1">
  <x:tableColumns count="3">
    <x:tableColumn id="1" name="Context"/>
    <x:tableColumn id="2" name="Score range"/>
    <x:tableColumn id="3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db6a3527324e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d61b1607324e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5fd3d46dc24a8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8" hidden="0" customWidth="1"/>
    <x:col min="5" max="5" width="28" hidden="0" customWidth="1"/>
    <x:col min="6" max="6" width="18" hidden="0" customWidth="1"/>
    <x:col min="3" max="3" width="18" hidden="0" customWidth="1"/>
    <x:col min="7" max="7" width="18" hidden="0" customWidth="1"/>
    <x:col min="8" max="8" width="16" hidden="0" customWidth="1"/>
  </x:cols>
  <x:sheetData>
    <x:row r="1">
      <x:c r="A1" s="6" t="str">
        <x:v>PaperPilot Journal-Quality Scorecard</x:v>
      </x:c>
      <x:c r="B1" s="6"/>
      <x:c r="C1" s="6"/>
      <x:c r="D1" s="6"/>
      <x:c r="E1" s="6"/>
      <x:c r="F1" s="6"/>
      <x:c r="G1" s="6"/>
      <x:c r="H1" s="6"/>
    </x:row>
    <x:row r="2">
      <x:c r="A2" s="8" t="str">
        <x:v>Internal Journal of Finance-style benchmark; not an official journal score or acceptance prediction.</x:v>
      </x:c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 t="str">
        <x:v>Metric</x:v>
      </x:c>
      <x:c r="B4" s="8" t="str">
        <x:v>Value</x:v>
      </x:c>
      <x:c r="C4" s="8"/>
      <x:c r="D4" s="8" t="str">
        <x:v>Decision rule</x:v>
      </x:c>
      <x:c r="E4" s="8" t="str">
        <x:v>Formula</x:v>
      </x:c>
      <x:c r="F4" s="8" t="str">
        <x:v>Result</x:v>
      </x:c>
      <x:c r="G4" s="8"/>
      <x:c r="H4" s="8"/>
    </x:row>
    <x:row r="5">
      <x:c r="A5" s="8" t="str">
        <x:v>Idea current score</x:v>
      </x:c>
      <x:c r="B5" s="8" t="n">
        <x:f>SUM('Idea Gate'!B2:B11)</x:f>
        <x:v>0</x:v>
      </x:c>
      <x:c r="C5" s="8"/>
      <x:c r="D5" s="8" t="str">
        <x:v>Idea gate</x:v>
      </x:c>
      <x:c r="E5" s="8" t="str">
        <x:f>IF(B6&lt;=70,"Give up/pivot",IF(B6&gt;=95,"Chase",IF(B6&gt;=85,"Promising/refine","Borderline")))</x:f>
        <x:v>Give up/pivot</x:v>
      </x:c>
      <x:c r="F5" s="8" t="str">
        <x:f>E5</x:f>
        <x:v>Give up/pivot</x:v>
      </x:c>
      <x:c r="G5" s="8"/>
      <x:c r="H5" s="8"/>
    </x:row>
    <x:row r="6">
      <x:c r="A6" s="8" t="str">
        <x:v>Idea potential ceiling</x:v>
      </x:c>
      <x:c r="B6" s="8" t="n">
        <x:f>SUM('Idea Gate'!C2:C11)</x:f>
        <x:v>0</x:v>
      </x:c>
      <x:c r="C6" s="8"/>
      <x:c r="D6" s="8" t="str">
        <x:v>Final stop rule</x:v>
      </x:c>
      <x:c r="E6" s="8" t="str">
        <x:f>IF(AND(B7&gt;=95,B8=0),"Stop revision","Continue revision")</x:f>
        <x:v>Continue revision</x:v>
      </x:c>
      <x:c r="F6" s="8" t="str">
        <x:f>E6</x:f>
        <x:v>Continue revision</x:v>
      </x:c>
      <x:c r="G6" s="8"/>
      <x:c r="H6" s="8"/>
    </x:row>
    <x:row r="7">
      <x:c r="A7" s="8" t="str">
        <x:v>Final paper score</x:v>
      </x:c>
      <x:c r="B7" s="8" t="n">
        <x:f>SUM('Final Paper'!B2:B11)</x:f>
        <x:v>0</x:v>
      </x:c>
      <x:c r="C7" s="8"/>
      <x:c r="D7" s="8" t="str">
        <x:v>Next action</x:v>
      </x:c>
      <x:c r="E7" s="8" t="str">
        <x:f>IF(F6="Stop revision","Prepare submission package",IF(B6&lt;=70,"Ask human whether to pivot/give up","Revise weakest dimensions"))</x:f>
        <x:v>Ask human whether to pivot/give up</x:v>
      </x:c>
      <x:c r="F7" s="8" t="str">
        <x:f>E7</x:f>
        <x:v>Ask human whether to pivot/give up</x:v>
      </x:c>
      <x:c r="G7" s="8"/>
      <x:c r="H7" s="8"/>
    </x:row>
    <x:row r="8">
      <x:c r="A8" s="8" t="str">
        <x:v>Hard-stop issues remaining</x:v>
      </x:c>
      <x:c r="B8" s="8" t="n">
        <x:f>COUNTIF('Final Paper'!F2:F11,"yes")</x:f>
        <x:v>0</x:v>
      </x:c>
      <x:c r="C8" s="8"/>
      <x:c r="D8" s="8" t="str">
        <x:v>Last updated</x:v>
      </x:c>
      <x:c r="E8" s="8" t="str">
        <x:v>2026-05-27</x:v>
      </x:c>
      <x:c r="F8" s="8" t="str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 t="str">
        <x:v>Score interpretation: idea potential &lt;=70 means default give-up/pivot; final paper &gt;=95 with zero hard-stop issues means revision may stop.</x:v>
      </x:c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</x:sheetData>
  <x:mergeCells>
    <x:mergeCell ref="A1:H1"/>
    <x:mergeCell ref="A2:H2"/>
    <x:mergeCell ref="A10:H10"/>
  </x:mergeCells>
  <x:conditionalFormatting sqref="B5:B8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4472C4"/>
            </x14:dataBar>
          </x14:cfRule>
          <xm:sqref>B5:B8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6" t="str">
        <x:v>Perspective</x:v>
      </x:c>
      <x:c r="B1" s="6" t="str">
        <x:v>Current score</x:v>
      </x:c>
      <x:c r="C1" s="6" t="str">
        <x:v>Potential ceiling</x:v>
      </x:c>
      <x:c r="D1" s="6" t="str">
        <x:v>Evidence known</x:v>
      </x:c>
      <x:c r="E1" s="6" t="str">
        <x:v>Main gap</x:v>
      </x:c>
      <x:c r="F1" s="6" t="str">
        <x:v>Upgrade needed</x:v>
      </x:c>
      <x:c r="G1" s="6" t="str">
        <x:v>Decision note</x:v>
      </x:c>
      <x:c r="H1" s="8"/>
    </x:row>
    <x:row r="2">
      <x:c r="A2" s="8" t="str">
        <x:v>Big question and economic importance</x:v>
      </x:c>
      <x:c r="B2" s="8" t="n">
        <x:v>0</x:v>
      </x:c>
      <x:c r="C2" s="8" t="n">
        <x:v>0</x:v>
      </x:c>
      <x:c r="D2" s="8" t="str">
        <x:v>NEEDS_EVIDENCE</x:v>
      </x:c>
      <x:c r="E2" s="8" t="str">
        <x:v>NEEDS_INPUT</x:v>
      </x:c>
      <x:c r="F2" s="8" t="str">
        <x:v>NEEDS_INPUT</x:v>
      </x:c>
      <x:c r="G2" s="8" t="str">
        <x:v>NEEDS_DECISION</x:v>
      </x:c>
      <x:c r="H2" s="8"/>
    </x:row>
    <x:row r="3">
      <x:c r="A3" s="8" t="str">
        <x:v>Novel contribution and originality</x:v>
      </x:c>
      <x:c r="B3" s="8" t="n">
        <x:v>0</x:v>
      </x:c>
      <x:c r="C3" s="8" t="n">
        <x:v>0</x:v>
      </x:c>
      <x:c r="D3" s="8" t="str">
        <x:v>NEEDS_EVIDENCE</x:v>
      </x:c>
      <x:c r="E3" s="8" t="str">
        <x:v>NEEDS_INPUT</x:v>
      </x:c>
      <x:c r="F3" s="8" t="str">
        <x:v>NEEDS_INPUT</x:v>
      </x:c>
      <x:c r="G3" s="8" t="str">
        <x:v>NEEDS_DECISION</x:v>
      </x:c>
      <x:c r="H3" s="8"/>
    </x:row>
    <x:row r="4">
      <x:c r="A4" s="8" t="str">
        <x:v>Literature positioning</x:v>
      </x:c>
      <x:c r="B4" s="8" t="n">
        <x:v>0</x:v>
      </x:c>
      <x:c r="C4" s="8" t="n">
        <x:v>0</x:v>
      </x:c>
      <x:c r="D4" s="8" t="str">
        <x:v>NEEDS_EVIDENCE</x:v>
      </x:c>
      <x:c r="E4" s="8" t="str">
        <x:v>NEEDS_INPUT</x:v>
      </x:c>
      <x:c r="F4" s="8" t="str">
        <x:v>NEEDS_INPUT</x:v>
      </x:c>
      <x:c r="G4" s="8" t="str">
        <x:v>NEEDS_DECISION</x:v>
      </x:c>
      <x:c r="H4" s="8"/>
    </x:row>
    <x:row r="5">
      <x:c r="A5" s="8" t="str">
        <x:v>Theory, mechanism, or conceptual clarity</x:v>
      </x:c>
      <x:c r="B5" s="8" t="n">
        <x:v>0</x:v>
      </x:c>
      <x:c r="C5" s="8" t="n">
        <x:v>0</x:v>
      </x:c>
      <x:c r="D5" s="8" t="str">
        <x:v>NEEDS_EVIDENCE</x:v>
      </x:c>
      <x:c r="E5" s="8" t="str">
        <x:v>NEEDS_INPUT</x:v>
      </x:c>
      <x:c r="F5" s="8" t="str">
        <x:v>NEEDS_INPUT</x:v>
      </x:c>
      <x:c r="G5" s="8" t="str">
        <x:v>NEEDS_DECISION</x:v>
      </x:c>
      <x:c r="H5" s="8"/>
    </x:row>
    <x:row r="6">
      <x:c r="A6" s="8" t="str">
        <x:v>Data quality and construction transparency</x:v>
      </x:c>
      <x:c r="B6" s="8" t="n">
        <x:v>0</x:v>
      </x:c>
      <x:c r="C6" s="8" t="n">
        <x:v>0</x:v>
      </x:c>
      <x:c r="D6" s="8" t="str">
        <x:v>NEEDS_EVIDENCE</x:v>
      </x:c>
      <x:c r="E6" s="8" t="str">
        <x:v>NEEDS_INPUT</x:v>
      </x:c>
      <x:c r="F6" s="8" t="str">
        <x:v>NEEDS_INPUT</x:v>
      </x:c>
      <x:c r="G6" s="8" t="str">
        <x:v>NEEDS_DECISION</x:v>
      </x:c>
      <x:c r="H6" s="8"/>
    </x:row>
    <x:row r="7">
      <x:c r="A7" s="8" t="str">
        <x:v>Identification or empirical-design credibility</x:v>
      </x:c>
      <x:c r="B7" s="8" t="n">
        <x:v>0</x:v>
      </x:c>
      <x:c r="C7" s="8" t="n">
        <x:v>0</x:v>
      </x:c>
      <x:c r="D7" s="8" t="str">
        <x:v>NEEDS_EVIDENCE</x:v>
      </x:c>
      <x:c r="E7" s="8" t="str">
        <x:v>NEEDS_INPUT</x:v>
      </x:c>
      <x:c r="F7" s="8" t="str">
        <x:v>NEEDS_INPUT</x:v>
      </x:c>
      <x:c r="G7" s="8" t="str">
        <x:v>NEEDS_DECISION</x:v>
      </x:c>
      <x:c r="H7" s="8"/>
    </x:row>
    <x:row r="8">
      <x:c r="A8" s="8" t="str">
        <x:v>Execution, reproducibility, and robustness</x:v>
      </x:c>
      <x:c r="B8" s="8" t="n">
        <x:v>0</x:v>
      </x:c>
      <x:c r="C8" s="8" t="n">
        <x:v>0</x:v>
      </x:c>
      <x:c r="D8" s="8" t="str">
        <x:v>NEEDS_EVIDENCE</x:v>
      </x:c>
      <x:c r="E8" s="8" t="str">
        <x:v>NEEDS_INPUT</x:v>
      </x:c>
      <x:c r="F8" s="8" t="str">
        <x:v>NEEDS_INPUT</x:v>
      </x:c>
      <x:c r="G8" s="8" t="str">
        <x:v>NEEDS_DECISION</x:v>
      </x:c>
      <x:c r="H8" s="8"/>
    </x:row>
    <x:row r="9">
      <x:c r="A9" s="8" t="str">
        <x:v>Result strength and economic magnitude</x:v>
      </x:c>
      <x:c r="B9" s="8" t="n">
        <x:v>0</x:v>
      </x:c>
      <x:c r="C9" s="8" t="n">
        <x:v>0</x:v>
      </x:c>
      <x:c r="D9" s="8" t="str">
        <x:v>NEEDS_EVIDENCE</x:v>
      </x:c>
      <x:c r="E9" s="8" t="str">
        <x:v>NEEDS_INPUT</x:v>
      </x:c>
      <x:c r="F9" s="8" t="str">
        <x:v>NEEDS_INPUT</x:v>
      </x:c>
      <x:c r="G9" s="8" t="str">
        <x:v>NEEDS_DECISION</x:v>
      </x:c>
      <x:c r="H9" s="8"/>
    </x:row>
    <x:row r="10">
      <x:c r="A10" s="8" t="str">
        <x:v>Claim discipline, limitations, and referee risk</x:v>
      </x:c>
      <x:c r="B10" s="8" t="n">
        <x:v>0</x:v>
      </x:c>
      <x:c r="C10" s="8" t="n">
        <x:v>0</x:v>
      </x:c>
      <x:c r="D10" s="8" t="str">
        <x:v>NEEDS_EVIDENCE</x:v>
      </x:c>
      <x:c r="E10" s="8" t="str">
        <x:v>NEEDS_INPUT</x:v>
      </x:c>
      <x:c r="F10" s="8" t="str">
        <x:v>NEEDS_INPUT</x:v>
      </x:c>
      <x:c r="G10" s="8" t="str">
        <x:v>NEEDS_DECISION</x:v>
      </x:c>
      <x:c r="H10" s="8"/>
    </x:row>
    <x:row r="11">
      <x:c r="A11" s="8" t="str">
        <x:v>Writing, tables, figures, and whole-paper coherence</x:v>
      </x:c>
      <x:c r="B11" s="8" t="n">
        <x:v>0</x:v>
      </x:c>
      <x:c r="C11" s="8" t="n">
        <x:v>0</x:v>
      </x:c>
      <x:c r="D11" s="8" t="str">
        <x:v>NEEDS_EVIDENCE</x:v>
      </x:c>
      <x:c r="E11" s="8" t="str">
        <x:v>NEEDS_INPUT</x:v>
      </x:c>
      <x:c r="F11" s="8" t="str">
        <x:v>NEEDS_INPUT</x:v>
      </x:c>
      <x:c r="G11" s="8" t="str">
        <x:v>NEEDS_DECISION</x:v>
      </x:c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 t="str">
        <x:v>Totals</x:v>
      </x:c>
      <x:c r="B13" s="8" t="n">
        <x:f>SUM(B2:B11)</x:f>
        <x:v>0</x:v>
      </x:c>
      <x:c r="C13" s="8" t="n">
        <x:f>SUM(C2:C11)</x:f>
        <x:v>0</x:v>
      </x:c>
      <x:c r="D13" s="8" t="str"/>
      <x:c r="E13" s="8" t="str"/>
      <x:c r="F13" s="8" t="str"/>
      <x:c r="G13" s="8" t="str"/>
      <x:c r="H13" s="8"/>
    </x:row>
    <x:row r="14">
      <x:c r="A14" s="8" t="str">
        <x:v>Idea decision</x:v>
      </x:c>
      <x:c r="B14" s="8" t="str"/>
      <x:c r="C14" s="8" t="str">
        <x:f>IF(C13&lt;=70,"Give up/pivot",IF(C13&gt;=95,"Chase",IF(C13&gt;=85,"Promising/refine","Borderline")))</x:f>
        <x:v>Give up/pivot</x:v>
      </x:c>
      <x:c r="D14" s="8" t="str"/>
      <x:c r="E14" s="8" t="str"/>
      <x:c r="F14" s="8" t="str"/>
      <x:c r="G14" s="8" t="str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</x:sheetData>
  <x:conditionalFormatting sqref="C2:C1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1">
    <x:dataValidation operator="between" sqref="B2:C11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7db6a3527324e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6" t="str">
        <x:v>Perspective</x:v>
      </x:c>
      <x:c r="B1" s="6" t="str">
        <x:v>Score</x:v>
      </x:c>
      <x:c r="C1" s="6" t="str">
        <x:v>Evidence used</x:v>
      </x:c>
      <x:c r="D1" s="6" t="str">
        <x:v>Main weakness</x:v>
      </x:c>
      <x:c r="E1" s="6" t="str">
        <x:v>Required improvement</x:v>
      </x:c>
      <x:c r="F1" s="6" t="str">
        <x:v>Hard stop yes/no</x:v>
      </x:c>
      <x:c r="G1" s="6" t="str">
        <x:v>Round</x:v>
      </x:c>
      <x:c r="H1" s="8"/>
    </x:row>
    <x:row r="2">
      <x:c r="A2" s="8" t="str">
        <x:v>Big question and economic importance</x:v>
      </x:c>
      <x:c r="B2" s="8" t="n">
        <x:v>0</x:v>
      </x:c>
      <x:c r="C2" s="8" t="str">
        <x:v>NEEDS_EVIDENCE</x:v>
      </x:c>
      <x:c r="D2" s="8" t="str">
        <x:v>NEEDS_INPUT</x:v>
      </x:c>
      <x:c r="E2" s="8" t="str">
        <x:v>NEEDS_INPUT</x:v>
      </x:c>
      <x:c r="F2" s="8" t="str">
        <x:v>no</x:v>
      </x:c>
      <x:c r="G2" s="8" t="str">
        <x:v>NEEDS_ROUND</x:v>
      </x:c>
      <x:c r="H2" s="8"/>
    </x:row>
    <x:row r="3">
      <x:c r="A3" s="8" t="str">
        <x:v>Novel contribution and originality</x:v>
      </x:c>
      <x:c r="B3" s="8" t="n">
        <x:v>0</x:v>
      </x:c>
      <x:c r="C3" s="8" t="str">
        <x:v>NEEDS_EVIDENCE</x:v>
      </x:c>
      <x:c r="D3" s="8" t="str">
        <x:v>NEEDS_INPUT</x:v>
      </x:c>
      <x:c r="E3" s="8" t="str">
        <x:v>NEEDS_INPUT</x:v>
      </x:c>
      <x:c r="F3" s="8" t="str">
        <x:v>no</x:v>
      </x:c>
      <x:c r="G3" s="8" t="str">
        <x:v>NEEDS_ROUND</x:v>
      </x:c>
      <x:c r="H3" s="8"/>
    </x:row>
    <x:row r="4">
      <x:c r="A4" s="8" t="str">
        <x:v>Literature positioning</x:v>
      </x:c>
      <x:c r="B4" s="8" t="n">
        <x:v>0</x:v>
      </x:c>
      <x:c r="C4" s="8" t="str">
        <x:v>NEEDS_EVIDENCE</x:v>
      </x:c>
      <x:c r="D4" s="8" t="str">
        <x:v>NEEDS_INPUT</x:v>
      </x:c>
      <x:c r="E4" s="8" t="str">
        <x:v>NEEDS_INPUT</x:v>
      </x:c>
      <x:c r="F4" s="8" t="str">
        <x:v>no</x:v>
      </x:c>
      <x:c r="G4" s="8" t="str">
        <x:v>NEEDS_ROUND</x:v>
      </x:c>
      <x:c r="H4" s="8"/>
    </x:row>
    <x:row r="5">
      <x:c r="A5" s="8" t="str">
        <x:v>Theory, mechanism, or conceptual clarity</x:v>
      </x:c>
      <x:c r="B5" s="8" t="n">
        <x:v>0</x:v>
      </x:c>
      <x:c r="C5" s="8" t="str">
        <x:v>NEEDS_EVIDENCE</x:v>
      </x:c>
      <x:c r="D5" s="8" t="str">
        <x:v>NEEDS_INPUT</x:v>
      </x:c>
      <x:c r="E5" s="8" t="str">
        <x:v>NEEDS_INPUT</x:v>
      </x:c>
      <x:c r="F5" s="8" t="str">
        <x:v>no</x:v>
      </x:c>
      <x:c r="G5" s="8" t="str">
        <x:v>NEEDS_ROUND</x:v>
      </x:c>
      <x:c r="H5" s="8"/>
    </x:row>
    <x:row r="6">
      <x:c r="A6" s="8" t="str">
        <x:v>Data quality and construction transparency</x:v>
      </x:c>
      <x:c r="B6" s="8" t="n">
        <x:v>0</x:v>
      </x:c>
      <x:c r="C6" s="8" t="str">
        <x:v>NEEDS_EVIDENCE</x:v>
      </x:c>
      <x:c r="D6" s="8" t="str">
        <x:v>NEEDS_INPUT</x:v>
      </x:c>
      <x:c r="E6" s="8" t="str">
        <x:v>NEEDS_INPUT</x:v>
      </x:c>
      <x:c r="F6" s="8" t="str">
        <x:v>no</x:v>
      </x:c>
      <x:c r="G6" s="8" t="str">
        <x:v>NEEDS_ROUND</x:v>
      </x:c>
      <x:c r="H6" s="8"/>
    </x:row>
    <x:row r="7">
      <x:c r="A7" s="8" t="str">
        <x:v>Identification or empirical-design credibility</x:v>
      </x:c>
      <x:c r="B7" s="8" t="n">
        <x:v>0</x:v>
      </x:c>
      <x:c r="C7" s="8" t="str">
        <x:v>NEEDS_EVIDENCE</x:v>
      </x:c>
      <x:c r="D7" s="8" t="str">
        <x:v>NEEDS_INPUT</x:v>
      </x:c>
      <x:c r="E7" s="8" t="str">
        <x:v>NEEDS_INPUT</x:v>
      </x:c>
      <x:c r="F7" s="8" t="str">
        <x:v>no</x:v>
      </x:c>
      <x:c r="G7" s="8" t="str">
        <x:v>NEEDS_ROUND</x:v>
      </x:c>
      <x:c r="H7" s="8"/>
    </x:row>
    <x:row r="8">
      <x:c r="A8" s="8" t="str">
        <x:v>Execution, reproducibility, and robustness</x:v>
      </x:c>
      <x:c r="B8" s="8" t="n">
        <x:v>0</x:v>
      </x:c>
      <x:c r="C8" s="8" t="str">
        <x:v>NEEDS_EVIDENCE</x:v>
      </x:c>
      <x:c r="D8" s="8" t="str">
        <x:v>NEEDS_INPUT</x:v>
      </x:c>
      <x:c r="E8" s="8" t="str">
        <x:v>NEEDS_INPUT</x:v>
      </x:c>
      <x:c r="F8" s="8" t="str">
        <x:v>no</x:v>
      </x:c>
      <x:c r="G8" s="8" t="str">
        <x:v>NEEDS_ROUND</x:v>
      </x:c>
      <x:c r="H8" s="8"/>
    </x:row>
    <x:row r="9">
      <x:c r="A9" s="8" t="str">
        <x:v>Result strength and economic magnitude</x:v>
      </x:c>
      <x:c r="B9" s="8" t="n">
        <x:v>0</x:v>
      </x:c>
      <x:c r="C9" s="8" t="str">
        <x:v>NEEDS_EVIDENCE</x:v>
      </x:c>
      <x:c r="D9" s="8" t="str">
        <x:v>NEEDS_INPUT</x:v>
      </x:c>
      <x:c r="E9" s="8" t="str">
        <x:v>NEEDS_INPUT</x:v>
      </x:c>
      <x:c r="F9" s="8" t="str">
        <x:v>no</x:v>
      </x:c>
      <x:c r="G9" s="8" t="str">
        <x:v>NEEDS_ROUND</x:v>
      </x:c>
      <x:c r="H9" s="8"/>
    </x:row>
    <x:row r="10">
      <x:c r="A10" s="8" t="str">
        <x:v>Claim discipline, limitations, and referee risk</x:v>
      </x:c>
      <x:c r="B10" s="8" t="n">
        <x:v>0</x:v>
      </x:c>
      <x:c r="C10" s="8" t="str">
        <x:v>NEEDS_EVIDENCE</x:v>
      </x:c>
      <x:c r="D10" s="8" t="str">
        <x:v>NEEDS_INPUT</x:v>
      </x:c>
      <x:c r="E10" s="8" t="str">
        <x:v>NEEDS_INPUT</x:v>
      </x:c>
      <x:c r="F10" s="8" t="str">
        <x:v>no</x:v>
      </x:c>
      <x:c r="G10" s="8" t="str">
        <x:v>NEEDS_ROUND</x:v>
      </x:c>
      <x:c r="H10" s="8"/>
    </x:row>
    <x:row r="11">
      <x:c r="A11" s="8" t="str">
        <x:v>Writing, tables, figures, and whole-paper coherence</x:v>
      </x:c>
      <x:c r="B11" s="8" t="n">
        <x:v>0</x:v>
      </x:c>
      <x:c r="C11" s="8" t="str">
        <x:v>NEEDS_EVIDENCE</x:v>
      </x:c>
      <x:c r="D11" s="8" t="str">
        <x:v>NEEDS_INPUT</x:v>
      </x:c>
      <x:c r="E11" s="8" t="str">
        <x:v>NEEDS_INPUT</x:v>
      </x:c>
      <x:c r="F11" s="8" t="str">
        <x:v>no</x:v>
      </x:c>
      <x:c r="G11" s="8" t="str">
        <x:v>NEEDS_ROUND</x:v>
      </x:c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 t="str">
        <x:v>Total score</x:v>
      </x:c>
      <x:c r="B13" s="8" t="n">
        <x:f>SUM(B2:B11)</x:f>
        <x:v>0</x:v>
      </x:c>
      <x:c r="C13" s="8" t="str"/>
      <x:c r="D13" s="8" t="str"/>
      <x:c r="E13" s="8" t="str">
        <x:v>Hard-stop count</x:v>
      </x:c>
      <x:c r="F13" s="8" t="n">
        <x:f>COUNTIF(F2:F11,"yes")</x:f>
        <x:v>0</x:v>
      </x:c>
      <x:c r="G13" s="8" t="str"/>
      <x:c r="H13" s="8"/>
    </x:row>
    <x:row r="14">
      <x:c r="A14" s="8" t="str">
        <x:v>Final decision</x:v>
      </x:c>
      <x:c r="B14" s="8" t="str">
        <x:f>IF(AND(B13&gt;=95,F13=0),"Stop revision","Continue revision")</x:f>
        <x:v>Continue revision</x:v>
      </x:c>
      <x:c r="C14" s="8" t="str"/>
      <x:c r="D14" s="8" t="str"/>
      <x:c r="E14" s="8" t="str"/>
      <x:c r="F14" s="8" t="str"/>
      <x:c r="G14" s="8" t="str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</x:sheetData>
  <x:conditionalFormatting sqref="B2:B1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dataValidations count="2">
    <x:dataValidation operator="between" sqref="B2:B11">
      <x:formula1>0</x:formula1>
      <x:formula2>10</x:formula2>
    </x:dataValidation>
    <x:dataValidation type="list" sqref="F2:F1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d61b1607324e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6" t="str">
        <x:v>Context</x:v>
      </x:c>
      <x:c r="B1" s="6" t="str">
        <x:v>Score range</x:v>
      </x:c>
      <x:c r="C1" s="6" t="str">
        <x:v>Action</x:v>
      </x:c>
      <x:c r="D1" s="8"/>
      <x:c r="E1" s="8"/>
      <x:c r="F1" s="8"/>
      <x:c r="G1" s="8"/>
      <x:c r="H1" s="8"/>
    </x:row>
    <x:row r="2">
      <x:c r="A2" s="8" t="str">
        <x:v>Idea potential</x:v>
      </x:c>
      <x:c r="B2" s="8" t="str">
        <x:v>95-100</x:v>
      </x:c>
      <x:c r="C2" s="8" t="str">
        <x:v>Chase if data/design feasible</x:v>
      </x:c>
      <x:c r="D2" s="8"/>
      <x:c r="E2" s="8"/>
      <x:c r="F2" s="8"/>
      <x:c r="G2" s="8"/>
      <x:c r="H2" s="8"/>
    </x:row>
    <x:row r="3">
      <x:c r="A3" s="8" t="str">
        <x:v>Idea potential</x:v>
      </x:c>
      <x:c r="B3" s="8" t="str">
        <x:v>85-94</x:v>
      </x:c>
      <x:c r="C3" s="8" t="str">
        <x:v>Promising; refine before major effort</x:v>
      </x:c>
      <x:c r="D3" s="8"/>
      <x:c r="E3" s="8"/>
      <x:c r="F3" s="8"/>
      <x:c r="G3" s="8"/>
      <x:c r="H3" s="8"/>
    </x:row>
    <x:row r="4">
      <x:c r="A4" s="8" t="str">
        <x:v>Idea potential</x:v>
      </x:c>
      <x:c r="B4" s="8" t="str">
        <x:v>71-84</x:v>
      </x:c>
      <x:c r="C4" s="8" t="str">
        <x:v>Borderline; continue only with special reason</x:v>
      </x:c>
      <x:c r="D4" s="8"/>
      <x:c r="E4" s="8"/>
      <x:c r="F4" s="8"/>
      <x:c r="G4" s="8"/>
      <x:c r="H4" s="8"/>
    </x:row>
    <x:row r="5">
      <x:c r="A5" s="8" t="str">
        <x:v>Idea potential</x:v>
      </x:c>
      <x:c r="B5" s="8" t="str">
        <x:v>&lt;=70</x:v>
      </x:c>
      <x:c r="C5" s="8" t="str">
        <x:v>Give up, pivot, or merge into another project</x:v>
      </x:c>
      <x:c r="D5" s="8"/>
      <x:c r="E5" s="8"/>
      <x:c r="F5" s="8"/>
      <x:c r="G5" s="8"/>
      <x:c r="H5" s="8"/>
    </x:row>
    <x:row r="6">
      <x:c r="A6" s="8" t="str">
        <x:v>Final paper</x:v>
      </x:c>
      <x:c r="B6" s="8" t="str">
        <x:v>&gt;=95 and no hard-stop</x:v>
      </x:c>
      <x:c r="C6" s="8" t="str">
        <x:v>Revision may stop</x:v>
      </x:c>
      <x:c r="D6" s="8"/>
      <x:c r="E6" s="8"/>
      <x:c r="F6" s="8"/>
      <x:c r="G6" s="8"/>
      <x:c r="H6" s="8"/>
    </x:row>
    <x:row r="7">
      <x:c r="A7" s="8" t="str">
        <x:v>Final paper</x:v>
      </x:c>
      <x:c r="B7" s="8" t="str">
        <x:v>90-94</x:v>
      </x:c>
      <x:c r="C7" s="8" t="str">
        <x:v>Targeted revision</x:v>
      </x:c>
      <x:c r="D7" s="8"/>
      <x:c r="E7" s="8"/>
      <x:c r="F7" s="8"/>
      <x:c r="G7" s="8"/>
      <x:c r="H7" s="8"/>
    </x:row>
    <x:row r="8">
      <x:c r="A8" s="8" t="str">
        <x:v>Final paper</x:v>
      </x:c>
      <x:c r="B8" s="8" t="str">
        <x:v>80-89</x:v>
      </x:c>
      <x:c r="C8" s="8" t="str">
        <x:v>Major revision or redesign</x:v>
      </x:c>
      <x:c r="D8" s="8"/>
      <x:c r="E8" s="8"/>
      <x:c r="F8" s="8"/>
      <x:c r="G8" s="8"/>
      <x:c r="H8" s="8"/>
    </x:row>
    <x:row r="9">
      <x:c r="A9" s="8" t="str">
        <x:v>Final paper</x:v>
      </x:c>
      <x:c r="B9" s="8" t="str">
        <x:v>&lt;80</x:v>
      </x:c>
      <x:c r="C9" s="8" t="str">
        <x:v>Not ready</x:v>
      </x:c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</x:sheetData>
  <x:pageMargins left="0.7" right="0.7" top="0.75" bottom="0.75" header="0.3" footer="0.3"/>
  <x:tableParts count="1">
    <x:tablePart xmlns:r="http://schemas.openxmlformats.org/officeDocument/2006/relationships" r:id="R725fd3d46dc24a82"/>
  </x:tableParts>
</x:worksheet>
</file>